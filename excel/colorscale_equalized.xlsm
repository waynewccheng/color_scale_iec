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-15" yWindow="-15" windowWidth="12000" windowHeight="14355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10" i="1"/>
  <c r="J9" i="1"/>
  <c r="J2" i="1" l="1"/>
  <c r="AV10" i="1" l="1"/>
  <c r="AW10" i="1" s="1"/>
  <c r="AV9" i="1"/>
  <c r="AV8" i="1"/>
  <c r="AX8" i="1" s="1"/>
  <c r="AV7" i="1"/>
  <c r="AV6" i="1"/>
  <c r="AW6" i="1" s="1"/>
  <c r="AV5" i="1"/>
  <c r="AX5" i="1" s="1"/>
  <c r="AV4" i="1"/>
  <c r="AW4" i="1" s="1"/>
  <c r="AX7" i="1"/>
  <c r="AX10" i="1"/>
  <c r="AX9" i="1"/>
  <c r="AW9" i="1"/>
  <c r="AX6" i="1"/>
  <c r="AW5" i="1"/>
  <c r="AX3" i="1"/>
  <c r="AW3" i="1"/>
  <c r="AX4" i="1" l="1"/>
  <c r="AW8" i="1"/>
  <c r="AW7" i="1"/>
</calcChain>
</file>

<file path=xl/sharedStrings.xml><?xml version="1.0" encoding="utf-8"?>
<sst xmlns="http://schemas.openxmlformats.org/spreadsheetml/2006/main" count="67" uniqueCount="21">
  <si>
    <t>Kevin</t>
  </si>
  <si>
    <t>UK</t>
  </si>
  <si>
    <t>Bulgaria</t>
  </si>
  <si>
    <t>Sweden</t>
  </si>
  <si>
    <t>Greece_VT</t>
  </si>
  <si>
    <t>Spain_EV</t>
  </si>
  <si>
    <t>UK_CJM</t>
  </si>
  <si>
    <t>UK_DS</t>
  </si>
  <si>
    <t>Gray</t>
  </si>
  <si>
    <t>R</t>
  </si>
  <si>
    <t>G</t>
  </si>
  <si>
    <t>B</t>
  </si>
  <si>
    <t>US</t>
  </si>
  <si>
    <t>US_Initial</t>
  </si>
  <si>
    <t>Skin dose range here</t>
  </si>
  <si>
    <t>Color names based on https://www.w3schools.com/colors/colors_names.asp</t>
  </si>
  <si>
    <t xml:space="preserve">Data from "Skin dose colour schemes.xls" sent by Colin Martin on Jan. 4, 2019 </t>
  </si>
  <si>
    <t>The height of each patch calculated here</t>
  </si>
  <si>
    <t>The RGB values here</t>
  </si>
  <si>
    <t>To update the chart: "Developer"/"Macros"/"MyBar"/"Run"</t>
  </si>
  <si>
    <t>WCC, 9/7/2019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</si>
</sst>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0" fontId="0" fillId="0" borderId="0" xfId="0" applyAlignment="1">
      <alignment horizont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0" fillId="0" borderId="16" xfId="0" applyBorder="1"/>
    <xf numFmtId="0" fontId="0" fillId="2" borderId="2" xfId="0" applyFill="1" applyBorder="1"/>
    <xf numFmtId="0" fontId="0" fillId="2" borderId="3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9" xfId="0" applyFill="1" applyBorder="1"/>
    <xf numFmtId="0" fontId="0" fillId="2" borderId="12" xfId="0" applyFill="1" applyBorder="1"/>
    <xf numFmtId="0" fontId="0" fillId="2" borderId="14" xfId="0" applyFill="1" applyBorder="1"/>
    <xf numFmtId="0" fontId="2" fillId="0" borderId="17" xfId="0" applyFont="1" applyBorder="1"/>
    <xf numFmtId="0" fontId="2" fillId="0" borderId="18" xfId="0" applyFont="1" applyBorder="1"/>
    <xf numFmtId="0" fontId="2" fillId="0" borderId="19" xfId="0" applyFont="1" applyBorder="1"/>
    <xf numFmtId="0" fontId="2" fillId="0" borderId="0" xfId="0" applyFon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C8649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80808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1"/>
            <c:invertIfNegative val="0"/>
            <c:bubble3D val="0"/>
            <c:spPr>
              <a:solidFill>
                <a:srgbClr val="00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2"/>
            <c:invertIfNegative val="0"/>
            <c:bubble3D val="0"/>
            <c:spPr>
              <a:solidFill>
                <a:srgbClr val="00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3"/>
            <c:invertIfNegative val="0"/>
            <c:bubble3D val="0"/>
            <c:spPr>
              <a:solidFill>
                <a:srgbClr val="00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4"/>
            <c:invertIfNegative val="0"/>
            <c:bubble3D val="0"/>
            <c:spPr>
              <a:solidFill>
                <a:srgbClr val="EE82EE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5"/>
            <c:invertIfNegative val="0"/>
            <c:bubble3D val="0"/>
            <c:spPr>
              <a:solidFill>
                <a:srgbClr val="00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6"/>
            <c:invertIfNegative val="0"/>
            <c:bubble3D val="0"/>
            <c:spPr>
              <a:solidFill>
                <a:srgbClr val="00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7"/>
            <c:invertIfNegative val="0"/>
            <c:bubble3D val="0"/>
            <c:spPr>
              <a:solidFill>
                <a:srgbClr val="00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8"/>
            <c:invertIfNegative val="0"/>
            <c:bubble3D val="0"/>
            <c:spPr>
              <a:solidFill>
                <a:srgbClr val="00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9"/>
            <c:invertIfNegative val="0"/>
            <c:bubble3D val="0"/>
            <c:spPr>
              <a:solidFill>
                <a:srgbClr val="00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cat>
            <c:strRef>
              <c:f>Sheet1!$K$2:$T$2</c:f>
              <c:strCache>
                <c:ptCount val="10"/>
                <c:pt idx="0">
                  <c:v>Kevin</c:v>
                </c:pt>
                <c:pt idx="1">
                  <c:v>US_Initial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  <c:pt idx="9">
                  <c:v>Gray</c:v>
                </c:pt>
              </c:strCache>
            </c:strRef>
          </c:cat>
          <c:val>
            <c:numRef>
              <c:f>Sheet1!$K$3:$T$3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</c:ser>
        <c:ser>
          <c:idx val="1"/>
          <c:order val="1"/>
          <c:invertIfNegative val="0"/>
          <c:dPt>
            <c:idx val="0"/>
            <c:invertIfNegative val="0"/>
            <c:bubble3D val="0"/>
            <c:spPr>
              <a:solidFill>
                <a:srgbClr val="5C005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1"/>
            <c:invertIfNegative val="0"/>
            <c:bubble3D val="0"/>
            <c:spPr>
              <a:solidFill>
                <a:srgbClr val="80008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2"/>
            <c:invertIfNegative val="0"/>
            <c:bubble3D val="0"/>
            <c:spPr>
              <a:solidFill>
                <a:srgbClr val="80008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3"/>
            <c:invertIfNegative val="0"/>
            <c:bubble3D val="0"/>
            <c:spPr>
              <a:solidFill>
                <a:srgbClr val="008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4"/>
            <c:invertIfNegative val="0"/>
            <c:bubble3D val="0"/>
            <c:spPr>
              <a:solidFill>
                <a:srgbClr val="4B0082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5"/>
            <c:invertIfNegative val="0"/>
            <c:bubble3D val="0"/>
            <c:spPr>
              <a:solidFill>
                <a:srgbClr val="008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6"/>
            <c:invertIfNegative val="0"/>
            <c:bubble3D val="0"/>
            <c:spPr>
              <a:solidFill>
                <a:srgbClr val="00008B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7"/>
            <c:invertIfNegative val="0"/>
            <c:bubble3D val="0"/>
            <c:spPr>
              <a:solidFill>
                <a:srgbClr val="40E0D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8"/>
            <c:invertIfNegative val="0"/>
            <c:bubble3D val="0"/>
            <c:spPr>
              <a:solidFill>
                <a:srgbClr val="00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9"/>
            <c:invertIfNegative val="0"/>
            <c:bubble3D val="0"/>
            <c:spPr>
              <a:solidFill>
                <a:srgbClr val="242424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cat>
            <c:strRef>
              <c:f>Sheet1!$K$2:$T$2</c:f>
              <c:strCache>
                <c:ptCount val="10"/>
                <c:pt idx="0">
                  <c:v>Kevin</c:v>
                </c:pt>
                <c:pt idx="1">
                  <c:v>US_Initial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  <c:pt idx="9">
                  <c:v>Gray</c:v>
                </c:pt>
              </c:strCache>
            </c:strRef>
          </c:cat>
          <c:val>
            <c:numRef>
              <c:f>Sheet1!$K$4:$T$4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</c:ser>
        <c:ser>
          <c:idx val="2"/>
          <c:order val="2"/>
          <c:invertIfNegative val="0"/>
          <c:dPt>
            <c:idx val="0"/>
            <c:invertIfNegative val="0"/>
            <c:bubble3D val="0"/>
            <c:spPr>
              <a:solidFill>
                <a:srgbClr val="0054F1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1"/>
            <c:invertIfNegative val="0"/>
            <c:bubble3D val="0"/>
            <c:spPr>
              <a:solidFill>
                <a:srgbClr val="00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2"/>
            <c:invertIfNegative val="0"/>
            <c:bubble3D val="0"/>
            <c:spPr>
              <a:solidFill>
                <a:srgbClr val="00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3"/>
            <c:invertIfNegative val="0"/>
            <c:bubble3D val="0"/>
            <c:spPr>
              <a:solidFill>
                <a:srgbClr val="FFFF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4"/>
            <c:invertIfNegative val="0"/>
            <c:bubble3D val="0"/>
            <c:spPr>
              <a:solidFill>
                <a:srgbClr val="00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5"/>
            <c:invertIfNegative val="0"/>
            <c:bubble3D val="0"/>
            <c:spPr>
              <a:solidFill>
                <a:srgbClr val="FFFF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6"/>
            <c:invertIfNegative val="0"/>
            <c:bubble3D val="0"/>
            <c:spPr>
              <a:solidFill>
                <a:srgbClr val="ADD8E6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7"/>
            <c:invertIfNegative val="0"/>
            <c:bubble3D val="0"/>
            <c:spPr>
              <a:solidFill>
                <a:srgbClr val="008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8"/>
            <c:invertIfNegative val="0"/>
            <c:bubble3D val="0"/>
            <c:spPr>
              <a:solidFill>
                <a:srgbClr val="40E0D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9"/>
            <c:invertIfNegative val="0"/>
            <c:bubble3D val="0"/>
            <c:spPr>
              <a:solidFill>
                <a:srgbClr val="494949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cat>
            <c:strRef>
              <c:f>Sheet1!$K$2:$T$2</c:f>
              <c:strCache>
                <c:ptCount val="10"/>
                <c:pt idx="0">
                  <c:v>Kevin</c:v>
                </c:pt>
                <c:pt idx="1">
                  <c:v>US_Initial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  <c:pt idx="9">
                  <c:v>Gray</c:v>
                </c:pt>
              </c:strCache>
            </c:strRef>
          </c:cat>
          <c:val>
            <c:numRef>
              <c:f>Sheet1!$K$5:$T$5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</c:ser>
        <c:ser>
          <c:idx val="3"/>
          <c:order val="3"/>
          <c:invertIfNegative val="0"/>
          <c:dPt>
            <c:idx val="0"/>
            <c:invertIfNegative val="0"/>
            <c:bubble3D val="0"/>
            <c:spPr>
              <a:solidFill>
                <a:srgbClr val="009A3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1"/>
            <c:invertIfNegative val="0"/>
            <c:bubble3D val="0"/>
            <c:spPr>
              <a:solidFill>
                <a:srgbClr val="008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2"/>
            <c:invertIfNegative val="0"/>
            <c:bubble3D val="0"/>
            <c:spPr>
              <a:solidFill>
                <a:srgbClr val="008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3"/>
            <c:invertIfNegative val="0"/>
            <c:bubble3D val="0"/>
            <c:spPr>
              <a:solidFill>
                <a:srgbClr val="FFA5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4"/>
            <c:invertIfNegative val="0"/>
            <c:bubble3D val="0"/>
            <c:spPr>
              <a:solidFill>
                <a:srgbClr val="008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5"/>
            <c:invertIfNegative val="0"/>
            <c:bubble3D val="0"/>
            <c:spPr>
              <a:solidFill>
                <a:srgbClr val="FFA5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6"/>
            <c:invertIfNegative val="0"/>
            <c:bubble3D val="0"/>
            <c:spPr>
              <a:solidFill>
                <a:srgbClr val="008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7"/>
            <c:invertIfNegative val="0"/>
            <c:bubble3D val="0"/>
            <c:spPr>
              <a:solidFill>
                <a:srgbClr val="FFFF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8"/>
            <c:invertIfNegative val="0"/>
            <c:bubble3D val="0"/>
            <c:spPr>
              <a:solidFill>
                <a:srgbClr val="008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9"/>
            <c:invertIfNegative val="0"/>
            <c:bubble3D val="0"/>
            <c:spPr>
              <a:solidFill>
                <a:srgbClr val="6D6D6D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cat>
            <c:strRef>
              <c:f>Sheet1!$K$2:$T$2</c:f>
              <c:strCache>
                <c:ptCount val="10"/>
                <c:pt idx="0">
                  <c:v>Kevin</c:v>
                </c:pt>
                <c:pt idx="1">
                  <c:v>US_Initial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  <c:pt idx="9">
                  <c:v>Gray</c:v>
                </c:pt>
              </c:strCache>
            </c:strRef>
          </c:cat>
          <c:val>
            <c:numRef>
              <c:f>Sheet1!$K$6:$T$6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</c:ser>
        <c:ser>
          <c:idx val="4"/>
          <c:order val="4"/>
          <c:invertIfNegative val="0"/>
          <c:dPt>
            <c:idx val="0"/>
            <c:invertIfNegative val="0"/>
            <c:bubble3D val="0"/>
            <c:spPr>
              <a:solidFill>
                <a:srgbClr val="FFFB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6"/>
            <c:invertIfNegative val="0"/>
            <c:bubble3D val="0"/>
            <c:spPr>
              <a:solidFill>
                <a:srgbClr val="FFFF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7"/>
            <c:invertIfNegative val="0"/>
            <c:bubble3D val="0"/>
            <c:spPr>
              <a:solidFill>
                <a:srgbClr val="FFA5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8"/>
            <c:invertIfNegative val="0"/>
            <c:bubble3D val="0"/>
            <c:spPr>
              <a:solidFill>
                <a:srgbClr val="FFFF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9"/>
            <c:invertIfNegative val="0"/>
            <c:bubble3D val="0"/>
            <c:spPr>
              <a:solidFill>
                <a:srgbClr val="929292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cat>
            <c:strRef>
              <c:f>Sheet1!$K$2:$T$2</c:f>
              <c:strCache>
                <c:ptCount val="10"/>
                <c:pt idx="0">
                  <c:v>Kevin</c:v>
                </c:pt>
                <c:pt idx="1">
                  <c:v>US_Initial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  <c:pt idx="9">
                  <c:v>Gray</c:v>
                </c:pt>
              </c:strCache>
            </c:strRef>
          </c:cat>
          <c:val>
            <c:numRef>
              <c:f>Sheet1!$K$7:$T$7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</c:ser>
        <c:ser>
          <c:idx val="5"/>
          <c:order val="5"/>
          <c:invertIfNegative val="0"/>
          <c:dPt>
            <c:idx val="0"/>
            <c:invertIfNegative val="0"/>
            <c:bubble3D val="0"/>
            <c:spPr>
              <a:solidFill>
                <a:srgbClr val="EF9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1"/>
            <c:invertIfNegative val="0"/>
            <c:bubble3D val="0"/>
            <c:spPr>
              <a:solidFill>
                <a:srgbClr val="FFA5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2"/>
            <c:invertIfNegative val="0"/>
            <c:bubble3D val="0"/>
            <c:spPr>
              <a:solidFill>
                <a:srgbClr val="FFA5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3"/>
            <c:invertIfNegative val="0"/>
            <c:bubble3D val="0"/>
            <c:spPr>
              <a:solidFill>
                <a:srgbClr val="8B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4"/>
            <c:invertIfNegative val="0"/>
            <c:bubble3D val="0"/>
            <c:spPr>
              <a:solidFill>
                <a:srgbClr val="FFA5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5"/>
            <c:invertIfNegative val="0"/>
            <c:bubble3D val="0"/>
            <c:spPr>
              <a:solidFill>
                <a:srgbClr val="FF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6"/>
            <c:invertIfNegative val="0"/>
            <c:bubble3D val="0"/>
            <c:spPr>
              <a:solidFill>
                <a:srgbClr val="FFA5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7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8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9"/>
            <c:invertIfNegative val="0"/>
            <c:bubble3D val="0"/>
            <c:spPr>
              <a:solidFill>
                <a:srgbClr val="B6B6B6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cat>
            <c:strRef>
              <c:f>Sheet1!$K$2:$T$2</c:f>
              <c:strCache>
                <c:ptCount val="10"/>
                <c:pt idx="0">
                  <c:v>Kevin</c:v>
                </c:pt>
                <c:pt idx="1">
                  <c:v>US_Initial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  <c:pt idx="9">
                  <c:v>Gray</c:v>
                </c:pt>
              </c:strCache>
            </c:strRef>
          </c:cat>
          <c:val>
            <c:numRef>
              <c:f>Sheet1!$K$8:$T$8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</c:ser>
        <c:ser>
          <c:idx val="6"/>
          <c:order val="6"/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3"/>
            <c:invertIfNegative val="0"/>
            <c:bubble3D val="0"/>
            <c:spPr>
              <a:solidFill>
                <a:srgbClr val="00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7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8"/>
            <c:invertIfNegative val="0"/>
            <c:bubble3D val="0"/>
            <c:spPr>
              <a:solidFill>
                <a:srgbClr val="FF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9"/>
            <c:invertIfNegative val="0"/>
            <c:bubble3D val="0"/>
            <c:spPr>
              <a:solidFill>
                <a:srgbClr val="DBDBDB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cat>
            <c:strRef>
              <c:f>Sheet1!$K$2:$T$2</c:f>
              <c:strCache>
                <c:ptCount val="10"/>
                <c:pt idx="0">
                  <c:v>Kevin</c:v>
                </c:pt>
                <c:pt idx="1">
                  <c:v>US_Initial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  <c:pt idx="9">
                  <c:v>Gray</c:v>
                </c:pt>
              </c:strCache>
            </c:strRef>
          </c:cat>
          <c:val>
            <c:numRef>
              <c:f>Sheet1!$K$9:$T$9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</c:ser>
        <c:ser>
          <c:idx val="7"/>
          <c:order val="7"/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3"/>
            <c:invertIfNegative val="0"/>
            <c:bubble3D val="0"/>
            <c:spPr>
              <a:solidFill>
                <a:srgbClr val="00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6"/>
            <c:invertIfNegative val="0"/>
            <c:bubble3D val="0"/>
            <c:spPr>
              <a:solidFill>
                <a:srgbClr val="8B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7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cat>
            <c:strRef>
              <c:f>Sheet1!$K$2:$T$2</c:f>
              <c:strCache>
                <c:ptCount val="10"/>
                <c:pt idx="0">
                  <c:v>Kevin</c:v>
                </c:pt>
                <c:pt idx="1">
                  <c:v>US_Initial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  <c:pt idx="9">
                  <c:v>Gray</c:v>
                </c:pt>
              </c:strCache>
            </c:strRef>
          </c:cat>
          <c:val>
            <c:numRef>
              <c:f>Sheet1!$K$10:$T$10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5910016"/>
        <c:axId val="125915904"/>
      </c:barChart>
      <c:catAx>
        <c:axId val="125910016"/>
        <c:scaling>
          <c:orientation val="minMax"/>
        </c:scaling>
        <c:delete val="0"/>
        <c:axPos val="b"/>
        <c:majorTickMark val="out"/>
        <c:minorTickMark val="none"/>
        <c:tickLblPos val="nextTo"/>
        <c:crossAx val="125915904"/>
        <c:crosses val="autoZero"/>
        <c:auto val="1"/>
        <c:lblAlgn val="ctr"/>
        <c:lblOffset val="100"/>
        <c:noMultiLvlLbl val="0"/>
      </c:catAx>
      <c:valAx>
        <c:axId val="125915904"/>
        <c:scaling>
          <c:orientation val="minMax"/>
          <c:max val="8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Dose Level (Step)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59100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200025</xdr:colOff>
      <xdr:row>17</xdr:row>
      <xdr:rowOff>138112</xdr:rowOff>
    </xdr:from>
    <xdr:to>
      <xdr:col>23</xdr:col>
      <xdr:colOff>361950</xdr:colOff>
      <xdr:row>49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Y21"/>
  <sheetViews>
    <sheetView tabSelected="1" topLeftCell="H7" workbookViewId="0">
      <selection activeCell="AA37" sqref="AA37"/>
    </sheetView>
  </sheetViews>
  <sheetFormatPr defaultRowHeight="15" x14ac:dyDescent="0.25"/>
  <sheetData>
    <row r="1" spans="1:51" ht="15.75" thickBot="1" x14ac:dyDescent="0.3">
      <c r="A1" t="s">
        <v>0</v>
      </c>
      <c r="B1" t="s">
        <v>12</v>
      </c>
      <c r="C1" t="s">
        <v>1</v>
      </c>
      <c r="D1" t="s">
        <v>2</v>
      </c>
      <c r="E1" t="s">
        <v>7</v>
      </c>
      <c r="F1" t="s">
        <v>3</v>
      </c>
      <c r="G1" t="s">
        <v>4</v>
      </c>
      <c r="H1" t="s">
        <v>5</v>
      </c>
      <c r="I1" t="s">
        <v>6</v>
      </c>
      <c r="J1" t="s">
        <v>8</v>
      </c>
      <c r="U1" t="s">
        <v>0</v>
      </c>
      <c r="X1" t="s">
        <v>12</v>
      </c>
      <c r="AA1" t="s">
        <v>1</v>
      </c>
      <c r="AD1" t="s">
        <v>2</v>
      </c>
      <c r="AG1" t="s">
        <v>7</v>
      </c>
      <c r="AJ1" t="s">
        <v>3</v>
      </c>
      <c r="AM1" t="s">
        <v>4</v>
      </c>
      <c r="AP1" t="s">
        <v>5</v>
      </c>
      <c r="AS1" t="s">
        <v>6</v>
      </c>
      <c r="AV1" t="s">
        <v>8</v>
      </c>
    </row>
    <row r="2" spans="1:51" x14ac:dyDescent="0.25">
      <c r="A2" s="23">
        <v>0</v>
      </c>
      <c r="B2" s="13">
        <v>0</v>
      </c>
      <c r="C2" s="13">
        <v>0</v>
      </c>
      <c r="D2" s="13">
        <v>0</v>
      </c>
      <c r="E2" s="13">
        <v>0</v>
      </c>
      <c r="F2" s="13">
        <v>0</v>
      </c>
      <c r="G2" s="13">
        <v>0</v>
      </c>
      <c r="H2" s="13">
        <v>0</v>
      </c>
      <c r="I2" s="13">
        <v>0</v>
      </c>
      <c r="J2" s="14">
        <f>0*15/8</f>
        <v>0</v>
      </c>
      <c r="K2" s="12" t="s">
        <v>0</v>
      </c>
      <c r="L2" s="13" t="s">
        <v>13</v>
      </c>
      <c r="M2" s="13" t="s">
        <v>1</v>
      </c>
      <c r="N2" s="13" t="s">
        <v>2</v>
      </c>
      <c r="O2" s="13" t="s">
        <v>7</v>
      </c>
      <c r="P2" s="13" t="s">
        <v>3</v>
      </c>
      <c r="Q2" s="13" t="s">
        <v>4</v>
      </c>
      <c r="R2" s="13" t="s">
        <v>5</v>
      </c>
      <c r="S2" s="13" t="s">
        <v>6</v>
      </c>
      <c r="T2" s="14" t="s">
        <v>8</v>
      </c>
      <c r="U2" s="11" t="s">
        <v>9</v>
      </c>
      <c r="V2" s="11" t="s">
        <v>10</v>
      </c>
      <c r="W2" s="11" t="s">
        <v>11</v>
      </c>
      <c r="X2" s="11" t="s">
        <v>9</v>
      </c>
      <c r="Y2" s="11" t="s">
        <v>10</v>
      </c>
      <c r="Z2" s="11" t="s">
        <v>11</v>
      </c>
      <c r="AA2" s="11" t="s">
        <v>9</v>
      </c>
      <c r="AB2" s="11" t="s">
        <v>10</v>
      </c>
      <c r="AC2" s="11" t="s">
        <v>11</v>
      </c>
      <c r="AD2" s="11" t="s">
        <v>9</v>
      </c>
      <c r="AE2" s="11" t="s">
        <v>10</v>
      </c>
      <c r="AF2" s="11" t="s">
        <v>11</v>
      </c>
      <c r="AG2" s="11" t="s">
        <v>9</v>
      </c>
      <c r="AH2" s="11" t="s">
        <v>10</v>
      </c>
      <c r="AI2" s="11" t="s">
        <v>11</v>
      </c>
      <c r="AJ2" s="11" t="s">
        <v>9</v>
      </c>
      <c r="AK2" s="11" t="s">
        <v>10</v>
      </c>
      <c r="AL2" s="11" t="s">
        <v>11</v>
      </c>
      <c r="AM2" s="11" t="s">
        <v>9</v>
      </c>
      <c r="AN2" s="11" t="s">
        <v>10</v>
      </c>
      <c r="AO2" s="11" t="s">
        <v>11</v>
      </c>
      <c r="AP2" s="11" t="s">
        <v>9</v>
      </c>
      <c r="AQ2" s="11" t="s">
        <v>10</v>
      </c>
      <c r="AR2" s="11" t="s">
        <v>11</v>
      </c>
      <c r="AS2" s="11" t="s">
        <v>9</v>
      </c>
      <c r="AT2" s="11" t="s">
        <v>10</v>
      </c>
      <c r="AU2" s="11" t="s">
        <v>11</v>
      </c>
      <c r="AV2" s="11" t="s">
        <v>9</v>
      </c>
      <c r="AW2" s="11" t="s">
        <v>10</v>
      </c>
      <c r="AX2" s="11" t="s">
        <v>11</v>
      </c>
    </row>
    <row r="3" spans="1:51" x14ac:dyDescent="0.25">
      <c r="A3" s="24">
        <v>0.1</v>
      </c>
      <c r="B3" s="5">
        <v>0.1</v>
      </c>
      <c r="C3" s="5">
        <v>1</v>
      </c>
      <c r="D3" s="5">
        <v>1</v>
      </c>
      <c r="E3" s="5">
        <v>1</v>
      </c>
      <c r="F3" s="5">
        <v>1</v>
      </c>
      <c r="G3" s="5">
        <v>0.5</v>
      </c>
      <c r="H3" s="5">
        <v>1</v>
      </c>
      <c r="I3" s="5">
        <v>0.2</v>
      </c>
      <c r="J3" s="16">
        <f>1*16/8</f>
        <v>2</v>
      </c>
      <c r="K3" s="15">
        <v>1</v>
      </c>
      <c r="L3" s="15">
        <v>1</v>
      </c>
      <c r="M3" s="15">
        <v>1</v>
      </c>
      <c r="N3" s="15">
        <v>1</v>
      </c>
      <c r="O3" s="15">
        <v>1</v>
      </c>
      <c r="P3" s="15">
        <v>1</v>
      </c>
      <c r="Q3" s="15">
        <v>1</v>
      </c>
      <c r="R3" s="15">
        <v>1</v>
      </c>
      <c r="S3" s="15">
        <v>1</v>
      </c>
      <c r="T3" s="15">
        <v>1</v>
      </c>
      <c r="U3" s="19">
        <v>128</v>
      </c>
      <c r="V3" s="19">
        <v>128</v>
      </c>
      <c r="W3" s="20">
        <v>128</v>
      </c>
      <c r="X3" s="1">
        <v>0</v>
      </c>
      <c r="Y3" s="2">
        <v>0</v>
      </c>
      <c r="Z3" s="3">
        <v>0</v>
      </c>
      <c r="AA3" s="1">
        <v>0</v>
      </c>
      <c r="AB3" s="2">
        <v>0</v>
      </c>
      <c r="AC3" s="3">
        <v>0</v>
      </c>
      <c r="AD3" s="1">
        <v>0</v>
      </c>
      <c r="AE3" s="2">
        <v>0</v>
      </c>
      <c r="AF3" s="3">
        <v>255</v>
      </c>
      <c r="AG3" s="1">
        <v>238</v>
      </c>
      <c r="AH3" s="2">
        <v>130</v>
      </c>
      <c r="AI3" s="3">
        <v>238</v>
      </c>
      <c r="AJ3" s="1">
        <v>0</v>
      </c>
      <c r="AK3" s="2">
        <v>0</v>
      </c>
      <c r="AL3" s="3">
        <v>255</v>
      </c>
      <c r="AM3" s="1">
        <v>0</v>
      </c>
      <c r="AN3" s="2">
        <v>0</v>
      </c>
      <c r="AO3" s="3">
        <v>0</v>
      </c>
      <c r="AP3" s="1">
        <v>0</v>
      </c>
      <c r="AQ3" s="2">
        <v>0</v>
      </c>
      <c r="AR3" s="3">
        <v>255</v>
      </c>
      <c r="AS3" s="1">
        <v>0</v>
      </c>
      <c r="AT3" s="2">
        <v>0</v>
      </c>
      <c r="AU3" s="2">
        <v>0</v>
      </c>
      <c r="AV3" s="1">
        <v>0</v>
      </c>
      <c r="AW3" s="2">
        <f>AV3</f>
        <v>0</v>
      </c>
      <c r="AX3" s="3">
        <f>AV3</f>
        <v>0</v>
      </c>
      <c r="AY3" s="10">
        <v>0</v>
      </c>
    </row>
    <row r="4" spans="1:51" x14ac:dyDescent="0.25">
      <c r="A4" s="24">
        <v>1</v>
      </c>
      <c r="B4" s="5">
        <v>1</v>
      </c>
      <c r="C4" s="5">
        <v>1.5</v>
      </c>
      <c r="D4" s="5">
        <v>2</v>
      </c>
      <c r="E4" s="5">
        <v>1.5</v>
      </c>
      <c r="F4" s="5">
        <v>2</v>
      </c>
      <c r="G4" s="5">
        <v>1</v>
      </c>
      <c r="H4" s="5">
        <v>2</v>
      </c>
      <c r="I4" s="5">
        <v>1</v>
      </c>
      <c r="J4" s="16">
        <f>2*16/8</f>
        <v>4</v>
      </c>
      <c r="K4" s="15">
        <v>1</v>
      </c>
      <c r="L4" s="15">
        <v>1</v>
      </c>
      <c r="M4" s="15">
        <v>1</v>
      </c>
      <c r="N4" s="15">
        <v>1</v>
      </c>
      <c r="O4" s="15">
        <v>1</v>
      </c>
      <c r="P4" s="15">
        <v>1</v>
      </c>
      <c r="Q4" s="15">
        <v>1</v>
      </c>
      <c r="R4" s="15">
        <v>1</v>
      </c>
      <c r="S4" s="15">
        <v>1</v>
      </c>
      <c r="T4" s="15">
        <v>1</v>
      </c>
      <c r="U4" s="21">
        <v>92</v>
      </c>
      <c r="V4" s="21">
        <v>0</v>
      </c>
      <c r="W4" s="22">
        <v>80</v>
      </c>
      <c r="X4" s="4">
        <v>128</v>
      </c>
      <c r="Y4" s="5">
        <v>0</v>
      </c>
      <c r="Z4" s="6">
        <v>128</v>
      </c>
      <c r="AA4" s="4">
        <v>128</v>
      </c>
      <c r="AB4" s="5">
        <v>0</v>
      </c>
      <c r="AC4" s="6">
        <v>128</v>
      </c>
      <c r="AD4" s="4">
        <v>0</v>
      </c>
      <c r="AE4" s="5">
        <v>128</v>
      </c>
      <c r="AF4" s="6">
        <v>0</v>
      </c>
      <c r="AG4" s="4">
        <v>75</v>
      </c>
      <c r="AH4" s="5">
        <v>0</v>
      </c>
      <c r="AI4" s="6">
        <v>130</v>
      </c>
      <c r="AJ4" s="4">
        <v>0</v>
      </c>
      <c r="AK4" s="5">
        <v>128</v>
      </c>
      <c r="AL4" s="6">
        <v>0</v>
      </c>
      <c r="AM4" s="4">
        <v>0</v>
      </c>
      <c r="AN4" s="5">
        <v>0</v>
      </c>
      <c r="AO4" s="6">
        <v>139</v>
      </c>
      <c r="AP4" s="4">
        <v>64</v>
      </c>
      <c r="AQ4" s="5">
        <v>224</v>
      </c>
      <c r="AR4" s="6">
        <v>208</v>
      </c>
      <c r="AS4" s="4">
        <v>0</v>
      </c>
      <c r="AT4" s="5">
        <v>0</v>
      </c>
      <c r="AU4" s="5">
        <v>255</v>
      </c>
      <c r="AV4" s="4">
        <f>255/7*AY4</f>
        <v>36.428571428571431</v>
      </c>
      <c r="AW4" s="5">
        <f t="shared" ref="AW4:AW10" si="0">AV4</f>
        <v>36.428571428571431</v>
      </c>
      <c r="AX4" s="6">
        <f t="shared" ref="AX4:AX10" si="1">AV4</f>
        <v>36.428571428571431</v>
      </c>
      <c r="AY4">
        <v>1</v>
      </c>
    </row>
    <row r="5" spans="1:51" x14ac:dyDescent="0.25">
      <c r="A5" s="24">
        <v>2</v>
      </c>
      <c r="B5" s="5">
        <v>2</v>
      </c>
      <c r="C5" s="5">
        <v>2</v>
      </c>
      <c r="D5" s="5">
        <v>3</v>
      </c>
      <c r="E5" s="5">
        <v>2</v>
      </c>
      <c r="F5" s="5">
        <v>3</v>
      </c>
      <c r="G5" s="5">
        <v>1.5</v>
      </c>
      <c r="H5" s="5">
        <v>3</v>
      </c>
      <c r="I5" s="5">
        <v>2</v>
      </c>
      <c r="J5" s="16">
        <f>3*16/8</f>
        <v>6</v>
      </c>
      <c r="K5" s="15">
        <v>1</v>
      </c>
      <c r="L5" s="15">
        <v>1</v>
      </c>
      <c r="M5" s="15">
        <v>1</v>
      </c>
      <c r="N5" s="15">
        <v>1</v>
      </c>
      <c r="O5" s="15">
        <v>1</v>
      </c>
      <c r="P5" s="15">
        <v>1</v>
      </c>
      <c r="Q5" s="15">
        <v>1</v>
      </c>
      <c r="R5" s="15">
        <v>1</v>
      </c>
      <c r="S5" s="15">
        <v>1</v>
      </c>
      <c r="T5" s="15">
        <v>1</v>
      </c>
      <c r="U5" s="21">
        <v>0</v>
      </c>
      <c r="V5" s="21">
        <v>84</v>
      </c>
      <c r="W5" s="22">
        <v>241</v>
      </c>
      <c r="X5" s="4">
        <v>0</v>
      </c>
      <c r="Y5" s="5">
        <v>0</v>
      </c>
      <c r="Z5" s="6">
        <v>255</v>
      </c>
      <c r="AA5" s="4">
        <v>0</v>
      </c>
      <c r="AB5" s="5">
        <v>0</v>
      </c>
      <c r="AC5" s="6">
        <v>255</v>
      </c>
      <c r="AD5" s="4">
        <v>255</v>
      </c>
      <c r="AE5" s="5">
        <v>255</v>
      </c>
      <c r="AF5" s="6">
        <v>0</v>
      </c>
      <c r="AG5" s="10">
        <v>0</v>
      </c>
      <c r="AH5" s="10">
        <v>0</v>
      </c>
      <c r="AI5" s="10">
        <v>255</v>
      </c>
      <c r="AJ5" s="4">
        <v>255</v>
      </c>
      <c r="AK5" s="5">
        <v>255</v>
      </c>
      <c r="AL5" s="6">
        <v>0</v>
      </c>
      <c r="AM5" s="4">
        <v>173</v>
      </c>
      <c r="AN5" s="5">
        <v>216</v>
      </c>
      <c r="AO5" s="6">
        <v>230</v>
      </c>
      <c r="AP5" s="4">
        <v>0</v>
      </c>
      <c r="AQ5" s="5">
        <v>128</v>
      </c>
      <c r="AR5" s="6">
        <v>0</v>
      </c>
      <c r="AS5" s="4">
        <v>64</v>
      </c>
      <c r="AT5" s="5">
        <v>224</v>
      </c>
      <c r="AU5" s="5">
        <v>208</v>
      </c>
      <c r="AV5" s="4">
        <f t="shared" ref="AV5:AV10" si="2">255/7*AY5</f>
        <v>72.857142857142861</v>
      </c>
      <c r="AW5" s="5">
        <f t="shared" si="0"/>
        <v>72.857142857142861</v>
      </c>
      <c r="AX5" s="6">
        <f t="shared" si="1"/>
        <v>72.857142857142861</v>
      </c>
      <c r="AY5">
        <v>2</v>
      </c>
    </row>
    <row r="6" spans="1:51" x14ac:dyDescent="0.25">
      <c r="A6" s="24">
        <v>3</v>
      </c>
      <c r="B6" s="5">
        <v>5</v>
      </c>
      <c r="C6" s="5">
        <v>3</v>
      </c>
      <c r="D6" s="5">
        <v>5</v>
      </c>
      <c r="E6" s="5">
        <v>3</v>
      </c>
      <c r="F6" s="5">
        <v>5</v>
      </c>
      <c r="G6" s="5">
        <v>2</v>
      </c>
      <c r="H6" s="5">
        <v>4</v>
      </c>
      <c r="I6" s="5">
        <v>3</v>
      </c>
      <c r="J6" s="16">
        <f>4*16/8</f>
        <v>8</v>
      </c>
      <c r="K6" s="15">
        <v>1</v>
      </c>
      <c r="L6" s="15">
        <v>1</v>
      </c>
      <c r="M6" s="15">
        <v>1</v>
      </c>
      <c r="N6" s="15">
        <v>1</v>
      </c>
      <c r="O6" s="15">
        <v>1</v>
      </c>
      <c r="P6" s="15">
        <v>1</v>
      </c>
      <c r="Q6" s="15">
        <v>1</v>
      </c>
      <c r="R6" s="15">
        <v>1</v>
      </c>
      <c r="S6" s="15">
        <v>1</v>
      </c>
      <c r="T6" s="15">
        <v>1</v>
      </c>
      <c r="U6" s="21">
        <v>0</v>
      </c>
      <c r="V6" s="21">
        <v>154</v>
      </c>
      <c r="W6" s="22">
        <v>48</v>
      </c>
      <c r="X6" s="4">
        <v>0</v>
      </c>
      <c r="Y6" s="5">
        <v>128</v>
      </c>
      <c r="Z6" s="6">
        <v>0</v>
      </c>
      <c r="AA6" s="4">
        <v>0</v>
      </c>
      <c r="AB6" s="5">
        <v>128</v>
      </c>
      <c r="AC6" s="6">
        <v>0</v>
      </c>
      <c r="AD6" s="4">
        <v>255</v>
      </c>
      <c r="AE6" s="5">
        <v>165</v>
      </c>
      <c r="AF6" s="6">
        <v>0</v>
      </c>
      <c r="AG6" s="4">
        <v>0</v>
      </c>
      <c r="AH6" s="5">
        <v>128</v>
      </c>
      <c r="AI6" s="6">
        <v>0</v>
      </c>
      <c r="AJ6" s="4">
        <v>255</v>
      </c>
      <c r="AK6" s="5">
        <v>165</v>
      </c>
      <c r="AL6" s="6">
        <v>0</v>
      </c>
      <c r="AM6" s="4">
        <v>0</v>
      </c>
      <c r="AN6" s="5">
        <v>128</v>
      </c>
      <c r="AO6" s="6">
        <v>0</v>
      </c>
      <c r="AP6" s="4">
        <v>255</v>
      </c>
      <c r="AQ6" s="5">
        <v>255</v>
      </c>
      <c r="AR6" s="6">
        <v>0</v>
      </c>
      <c r="AS6" s="4">
        <v>0</v>
      </c>
      <c r="AT6" s="5">
        <v>128</v>
      </c>
      <c r="AU6" s="5">
        <v>0</v>
      </c>
      <c r="AV6" s="4">
        <f t="shared" si="2"/>
        <v>109.28571428571429</v>
      </c>
      <c r="AW6" s="5">
        <f t="shared" si="0"/>
        <v>109.28571428571429</v>
      </c>
      <c r="AX6" s="6">
        <f t="shared" si="1"/>
        <v>109.28571428571429</v>
      </c>
      <c r="AY6">
        <v>3</v>
      </c>
    </row>
    <row r="7" spans="1:51" x14ac:dyDescent="0.25">
      <c r="A7" s="24">
        <v>5</v>
      </c>
      <c r="B7" s="5">
        <v>7.5</v>
      </c>
      <c r="C7" s="5">
        <v>5</v>
      </c>
      <c r="D7" s="5">
        <v>10</v>
      </c>
      <c r="E7" s="5">
        <v>5</v>
      </c>
      <c r="F7" s="5">
        <v>7</v>
      </c>
      <c r="G7" s="5">
        <v>2.5</v>
      </c>
      <c r="H7" s="5">
        <v>5</v>
      </c>
      <c r="I7" s="5">
        <v>5</v>
      </c>
      <c r="J7" s="16">
        <f>5*16/8</f>
        <v>10</v>
      </c>
      <c r="K7" s="15">
        <v>1</v>
      </c>
      <c r="L7" s="15">
        <v>1</v>
      </c>
      <c r="M7" s="15">
        <v>1</v>
      </c>
      <c r="N7" s="15">
        <v>1</v>
      </c>
      <c r="O7" s="15">
        <v>1</v>
      </c>
      <c r="P7" s="15">
        <v>1</v>
      </c>
      <c r="Q7" s="15">
        <v>1</v>
      </c>
      <c r="R7" s="15">
        <v>1</v>
      </c>
      <c r="S7" s="15">
        <v>1</v>
      </c>
      <c r="T7" s="15">
        <v>1</v>
      </c>
      <c r="U7" s="21">
        <v>255</v>
      </c>
      <c r="V7" s="21">
        <v>251</v>
      </c>
      <c r="W7" s="22">
        <v>0</v>
      </c>
      <c r="X7" s="4">
        <v>255</v>
      </c>
      <c r="Y7" s="5">
        <v>255</v>
      </c>
      <c r="Z7" s="6">
        <v>0</v>
      </c>
      <c r="AA7" s="4">
        <v>255</v>
      </c>
      <c r="AB7" s="5">
        <v>255</v>
      </c>
      <c r="AC7" s="6">
        <v>0</v>
      </c>
      <c r="AD7" s="4">
        <v>255</v>
      </c>
      <c r="AE7" s="5">
        <v>0</v>
      </c>
      <c r="AF7" s="6">
        <v>0</v>
      </c>
      <c r="AG7" s="4">
        <v>255</v>
      </c>
      <c r="AH7" s="5">
        <v>255</v>
      </c>
      <c r="AI7" s="6">
        <v>0</v>
      </c>
      <c r="AJ7" s="4">
        <v>255</v>
      </c>
      <c r="AK7" s="5">
        <v>0</v>
      </c>
      <c r="AL7" s="6">
        <v>0</v>
      </c>
      <c r="AM7" s="4">
        <v>255</v>
      </c>
      <c r="AN7" s="5">
        <v>255</v>
      </c>
      <c r="AO7" s="6">
        <v>0</v>
      </c>
      <c r="AP7" s="4">
        <v>255</v>
      </c>
      <c r="AQ7" s="5">
        <v>165</v>
      </c>
      <c r="AR7" s="6">
        <v>0</v>
      </c>
      <c r="AS7" s="4">
        <v>255</v>
      </c>
      <c r="AT7" s="5">
        <v>255</v>
      </c>
      <c r="AU7" s="5">
        <v>0</v>
      </c>
      <c r="AV7" s="4">
        <f t="shared" si="2"/>
        <v>145.71428571428572</v>
      </c>
      <c r="AW7" s="5">
        <f t="shared" si="0"/>
        <v>145.71428571428572</v>
      </c>
      <c r="AX7" s="6">
        <f t="shared" si="1"/>
        <v>145.71428571428572</v>
      </c>
      <c r="AY7">
        <v>4</v>
      </c>
    </row>
    <row r="8" spans="1:51" x14ac:dyDescent="0.25">
      <c r="A8" s="24">
        <v>8</v>
      </c>
      <c r="B8" s="5">
        <v>10</v>
      </c>
      <c r="C8" s="5">
        <v>8</v>
      </c>
      <c r="D8" s="5">
        <v>15</v>
      </c>
      <c r="E8" s="5">
        <v>8</v>
      </c>
      <c r="F8" s="5">
        <v>10</v>
      </c>
      <c r="G8" s="5">
        <v>3</v>
      </c>
      <c r="H8" s="5">
        <v>7</v>
      </c>
      <c r="I8" s="5">
        <v>7</v>
      </c>
      <c r="J8" s="16">
        <f>6*16/8</f>
        <v>12</v>
      </c>
      <c r="K8" s="15">
        <v>1</v>
      </c>
      <c r="L8" s="15">
        <v>1</v>
      </c>
      <c r="M8" s="15">
        <v>1</v>
      </c>
      <c r="N8" s="15">
        <v>1</v>
      </c>
      <c r="O8" s="15">
        <v>1</v>
      </c>
      <c r="P8" s="15">
        <v>1</v>
      </c>
      <c r="Q8" s="15">
        <v>1</v>
      </c>
      <c r="R8" s="15">
        <v>1</v>
      </c>
      <c r="S8" s="15">
        <v>1</v>
      </c>
      <c r="T8" s="15">
        <v>1</v>
      </c>
      <c r="U8" s="21">
        <v>239</v>
      </c>
      <c r="V8" s="21">
        <v>144</v>
      </c>
      <c r="W8" s="22">
        <v>0</v>
      </c>
      <c r="X8" s="4">
        <v>255</v>
      </c>
      <c r="Y8" s="5">
        <v>165</v>
      </c>
      <c r="Z8" s="6">
        <v>0</v>
      </c>
      <c r="AA8" s="4">
        <v>255</v>
      </c>
      <c r="AB8" s="5">
        <v>165</v>
      </c>
      <c r="AC8" s="6">
        <v>0</v>
      </c>
      <c r="AD8" s="4">
        <v>139</v>
      </c>
      <c r="AE8" s="5">
        <v>0</v>
      </c>
      <c r="AF8" s="6">
        <v>0</v>
      </c>
      <c r="AG8" s="4">
        <v>255</v>
      </c>
      <c r="AH8" s="5">
        <v>165</v>
      </c>
      <c r="AI8" s="6">
        <v>0</v>
      </c>
      <c r="AJ8" s="4">
        <v>255</v>
      </c>
      <c r="AK8" s="5">
        <v>0</v>
      </c>
      <c r="AL8" s="6">
        <v>255</v>
      </c>
      <c r="AM8" s="4">
        <v>255</v>
      </c>
      <c r="AN8" s="5">
        <v>165</v>
      </c>
      <c r="AO8" s="6">
        <v>0</v>
      </c>
      <c r="AP8" s="4">
        <v>255</v>
      </c>
      <c r="AQ8" s="5">
        <v>0</v>
      </c>
      <c r="AR8" s="6">
        <v>0</v>
      </c>
      <c r="AS8" s="4">
        <v>255</v>
      </c>
      <c r="AT8" s="5">
        <v>0</v>
      </c>
      <c r="AU8" s="5">
        <v>0</v>
      </c>
      <c r="AV8" s="4">
        <f t="shared" si="2"/>
        <v>182.14285714285717</v>
      </c>
      <c r="AW8" s="5">
        <f t="shared" si="0"/>
        <v>182.14285714285717</v>
      </c>
      <c r="AX8" s="6">
        <f t="shared" si="1"/>
        <v>182.14285714285717</v>
      </c>
      <c r="AY8">
        <v>5</v>
      </c>
    </row>
    <row r="9" spans="1:51" x14ac:dyDescent="0.25">
      <c r="A9" s="24">
        <v>12</v>
      </c>
      <c r="B9" s="5">
        <v>15</v>
      </c>
      <c r="C9" s="5">
        <v>8</v>
      </c>
      <c r="D9" s="5">
        <v>15</v>
      </c>
      <c r="E9" s="5">
        <v>15</v>
      </c>
      <c r="F9" s="5">
        <v>15</v>
      </c>
      <c r="G9" s="5">
        <v>3.5</v>
      </c>
      <c r="H9" s="5">
        <v>15</v>
      </c>
      <c r="I9" s="5">
        <v>10</v>
      </c>
      <c r="J9" s="16">
        <f>7*16/8</f>
        <v>14</v>
      </c>
      <c r="K9" s="15">
        <v>1</v>
      </c>
      <c r="L9" s="15">
        <v>1</v>
      </c>
      <c r="M9" s="15">
        <v>1</v>
      </c>
      <c r="N9" s="15">
        <v>1</v>
      </c>
      <c r="O9" s="15">
        <v>1</v>
      </c>
      <c r="P9" s="15">
        <v>1</v>
      </c>
      <c r="Q9" s="15">
        <v>1</v>
      </c>
      <c r="R9" s="15">
        <v>1</v>
      </c>
      <c r="S9" s="15">
        <v>1</v>
      </c>
      <c r="T9" s="15">
        <v>1</v>
      </c>
      <c r="U9" s="21">
        <v>255</v>
      </c>
      <c r="V9" s="21">
        <v>0</v>
      </c>
      <c r="W9" s="22">
        <v>0</v>
      </c>
      <c r="X9" s="4">
        <v>255</v>
      </c>
      <c r="Y9" s="5">
        <v>0</v>
      </c>
      <c r="Z9" s="6">
        <v>0</v>
      </c>
      <c r="AA9" s="4">
        <v>255</v>
      </c>
      <c r="AB9" s="5">
        <v>0</v>
      </c>
      <c r="AC9" s="6">
        <v>0</v>
      </c>
      <c r="AD9" s="4">
        <v>0</v>
      </c>
      <c r="AE9" s="5">
        <v>0</v>
      </c>
      <c r="AF9" s="6">
        <v>0</v>
      </c>
      <c r="AG9" s="4">
        <v>255</v>
      </c>
      <c r="AH9" s="5">
        <v>0</v>
      </c>
      <c r="AI9" s="6">
        <v>0</v>
      </c>
      <c r="AJ9" s="4">
        <v>255</v>
      </c>
      <c r="AK9" s="5">
        <v>255</v>
      </c>
      <c r="AL9" s="6">
        <v>255</v>
      </c>
      <c r="AM9" s="4">
        <v>255</v>
      </c>
      <c r="AN9" s="5">
        <v>0</v>
      </c>
      <c r="AO9" s="6">
        <v>0</v>
      </c>
      <c r="AP9" s="4">
        <v>255</v>
      </c>
      <c r="AQ9" s="5">
        <v>0</v>
      </c>
      <c r="AR9" s="6">
        <v>0</v>
      </c>
      <c r="AS9" s="4">
        <v>255</v>
      </c>
      <c r="AT9" s="5">
        <v>0</v>
      </c>
      <c r="AU9" s="5">
        <v>255</v>
      </c>
      <c r="AV9" s="4">
        <f t="shared" si="2"/>
        <v>218.57142857142858</v>
      </c>
      <c r="AW9" s="5">
        <f t="shared" si="0"/>
        <v>218.57142857142858</v>
      </c>
      <c r="AX9" s="6">
        <f t="shared" si="1"/>
        <v>218.57142857142858</v>
      </c>
      <c r="AY9">
        <v>6</v>
      </c>
    </row>
    <row r="10" spans="1:51" ht="15.75" thickBot="1" x14ac:dyDescent="0.3">
      <c r="A10" s="25">
        <v>16</v>
      </c>
      <c r="B10" s="17">
        <v>16</v>
      </c>
      <c r="C10" s="17">
        <v>16</v>
      </c>
      <c r="D10" s="17">
        <v>16</v>
      </c>
      <c r="E10" s="17">
        <v>16</v>
      </c>
      <c r="F10" s="17">
        <v>16</v>
      </c>
      <c r="G10" s="17">
        <v>16</v>
      </c>
      <c r="H10" s="17">
        <v>16</v>
      </c>
      <c r="I10" s="17">
        <v>16</v>
      </c>
      <c r="J10" s="18">
        <f>8*16/8</f>
        <v>16</v>
      </c>
      <c r="K10" s="15">
        <v>1</v>
      </c>
      <c r="L10" s="15">
        <v>1</v>
      </c>
      <c r="M10" s="15">
        <v>1</v>
      </c>
      <c r="N10" s="15">
        <v>1</v>
      </c>
      <c r="O10" s="15">
        <v>1</v>
      </c>
      <c r="P10" s="15">
        <v>1</v>
      </c>
      <c r="Q10" s="15">
        <v>1</v>
      </c>
      <c r="R10" s="15">
        <v>1</v>
      </c>
      <c r="S10" s="15">
        <v>1</v>
      </c>
      <c r="T10" s="15">
        <v>1</v>
      </c>
      <c r="U10" s="21">
        <v>255</v>
      </c>
      <c r="V10" s="21">
        <v>255</v>
      </c>
      <c r="W10" s="22">
        <v>255</v>
      </c>
      <c r="X10" s="7">
        <v>255</v>
      </c>
      <c r="Y10" s="8">
        <v>255</v>
      </c>
      <c r="Z10" s="9">
        <v>255</v>
      </c>
      <c r="AA10" s="7">
        <v>255</v>
      </c>
      <c r="AB10" s="8">
        <v>0</v>
      </c>
      <c r="AC10" s="9">
        <v>0</v>
      </c>
      <c r="AD10" s="7">
        <v>0</v>
      </c>
      <c r="AE10" s="8">
        <v>0</v>
      </c>
      <c r="AF10" s="9">
        <v>0</v>
      </c>
      <c r="AG10" s="7">
        <v>255</v>
      </c>
      <c r="AH10" s="8">
        <v>0</v>
      </c>
      <c r="AI10" s="9">
        <v>0</v>
      </c>
      <c r="AJ10" s="7">
        <v>255</v>
      </c>
      <c r="AK10" s="8">
        <v>255</v>
      </c>
      <c r="AL10" s="9">
        <v>255</v>
      </c>
      <c r="AM10" s="7">
        <v>139</v>
      </c>
      <c r="AN10" s="8">
        <v>0</v>
      </c>
      <c r="AO10" s="9">
        <v>0</v>
      </c>
      <c r="AP10" s="4">
        <v>255</v>
      </c>
      <c r="AQ10" s="5">
        <v>0</v>
      </c>
      <c r="AR10" s="6">
        <v>0</v>
      </c>
      <c r="AS10" s="7">
        <v>255</v>
      </c>
      <c r="AT10" s="8">
        <v>255</v>
      </c>
      <c r="AU10" s="8">
        <v>255</v>
      </c>
      <c r="AV10" s="7">
        <f t="shared" si="2"/>
        <v>255</v>
      </c>
      <c r="AW10" s="8">
        <f t="shared" si="0"/>
        <v>255</v>
      </c>
      <c r="AX10" s="9">
        <f t="shared" si="1"/>
        <v>255</v>
      </c>
      <c r="AY10">
        <v>7</v>
      </c>
    </row>
    <row r="13" spans="1:51" s="29" customFormat="1" x14ac:dyDescent="0.25">
      <c r="A13" s="26" t="s">
        <v>14</v>
      </c>
      <c r="B13" s="27"/>
      <c r="C13" s="27"/>
      <c r="D13" s="27"/>
      <c r="E13" s="27"/>
      <c r="F13" s="27"/>
      <c r="G13" s="27"/>
      <c r="H13" s="27"/>
      <c r="I13" s="27"/>
      <c r="J13" s="28"/>
      <c r="K13" s="26" t="s">
        <v>17</v>
      </c>
      <c r="L13" s="27"/>
      <c r="M13" s="27"/>
      <c r="N13" s="27"/>
      <c r="O13" s="27"/>
      <c r="P13" s="27"/>
      <c r="Q13" s="27"/>
      <c r="R13" s="27"/>
      <c r="S13" s="27"/>
      <c r="T13" s="28"/>
      <c r="U13" s="26" t="s">
        <v>18</v>
      </c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8"/>
    </row>
    <row r="15" spans="1:51" x14ac:dyDescent="0.25">
      <c r="A15" t="s">
        <v>15</v>
      </c>
    </row>
    <row r="17" spans="1:1" x14ac:dyDescent="0.25">
      <c r="A17" t="s">
        <v>16</v>
      </c>
    </row>
    <row r="19" spans="1:1" x14ac:dyDescent="0.25">
      <c r="A19" s="30" t="s">
        <v>19</v>
      </c>
    </row>
    <row r="21" spans="1:1" x14ac:dyDescent="0.25">
      <c r="A21" t="s">
        <v>20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2019-09-07T14:56:26Z</dcterms:modified>
</cp:coreProperties>
</file>